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Golden_Verification" sheetId="1" state="visible" r:id="rId1"/>
    <sheet xmlns:r="http://schemas.openxmlformats.org/officeDocument/2006/relationships" name="2_8_VDD_Robustness_Sweep" sheetId="2" state="visible" r:id="rId2"/>
    <sheet xmlns:r="http://schemas.openxmlformats.org/officeDocument/2006/relationships" name="3_Measurement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97D"/>
      <sz val="13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595959"/>
        <bgColor rgb="00595959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F2F2F2"/>
        <bgColor rgb="00F2F2F2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/>
    </xf>
    <xf numFmtId="164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30" customWidth="1" min="2" max="2"/>
    <col width="12" customWidth="1" min="3" max="3"/>
    <col width="12" customWidth="1" min="4" max="4"/>
    <col width="13" customWidth="1" min="5" max="5"/>
    <col width="27" customWidth="1" min="6" max="6"/>
    <col width="30" customWidth="1" min="7" max="7"/>
    <col width="17" customWidth="1" min="8" max="8"/>
    <col width="17" customWidth="1" min="9" max="9"/>
    <col width="17" customWidth="1" min="10" max="10"/>
    <col width="17" customWidth="1" min="11" max="11"/>
    <col width="18" customWidth="1" min="12" max="12"/>
    <col width="20" customWidth="1" min="13" max="13"/>
    <col width="19" customWidth="1" min="14" max="14"/>
    <col width="29" customWidth="1" min="15" max="15"/>
    <col width="29" customWidth="1" min="16" max="16"/>
    <col width="29" customWidth="1" min="17" max="17"/>
    <col width="37" customWidth="1" min="18" max="18"/>
    <col width="37" customWidth="1" min="19" max="19"/>
    <col width="39" customWidth="1" min="20" max="20"/>
    <col width="37" customWidth="1" min="21" max="21"/>
    <col width="37" customWidth="1" min="22" max="22"/>
    <col width="33" customWidth="1" min="23" max="23"/>
    <col width="34" customWidth="1" min="24" max="24"/>
    <col width="33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  <col width="34" customWidth="1" min="31" max="31"/>
    <col width="85" customWidth="1" min="32" max="32"/>
  </cols>
  <sheetData>
    <row r="1">
      <c r="A1" s="1" t="inlineStr">
        <is>
          <t>6T FinFET SRAM Optimization — Golden Cadence Verification Matrix</t>
        </is>
      </c>
    </row>
    <row r="2">
      <c r="A2" s="2" t="inlineStr">
        <is>
          <t>Transistor-level re-simulation checklist for the 4 nominal golden configurations</t>
        </is>
      </c>
    </row>
    <row r="4" ht="42" customHeight="1">
      <c r="A4" s="3" t="inlineStr">
        <is>
          <t>Config ID</t>
        </is>
      </c>
      <c r="B4" s="3" t="inlineStr">
        <is>
          <t>SRAM Role / Application Class</t>
        </is>
      </c>
      <c r="C4" s="3" t="inlineStr">
        <is>
          <t>PU (Fins)</t>
        </is>
      </c>
      <c r="D4" s="3" t="inlineStr">
        <is>
          <t>PD (Fins)</t>
        </is>
      </c>
      <c r="E4" s="3" t="inlineStr">
        <is>
          <t>ACC (Fins)</t>
        </is>
      </c>
      <c r="F4" s="3" t="inlineStr">
        <is>
          <t>Cell Ratio (CR = PD/ACC)</t>
        </is>
      </c>
      <c r="G4" s="3" t="inlineStr">
        <is>
          <t>Pull-Up Ratio (PR = PU/ACC)</t>
        </is>
      </c>
      <c r="H4" s="3" t="inlineStr">
        <is>
          <t>Verify VDD (V)</t>
        </is>
      </c>
      <c r="I4" s="4" t="inlineStr">
        <is>
          <t>Exp. HSNM (mV)</t>
        </is>
      </c>
      <c r="J4" s="4" t="inlineStr">
        <is>
          <t>Exp. RSNM (mV)</t>
        </is>
      </c>
      <c r="K4" s="4" t="inlineStr">
        <is>
          <t>Exp. WSNM (mV)</t>
        </is>
      </c>
      <c r="L4" s="4" t="inlineStr">
        <is>
          <t>Exp. Delay (ps)</t>
        </is>
      </c>
      <c r="M4" s="4" t="inlineStr">
        <is>
          <t>Exp. Leakage (nA)</t>
        </is>
      </c>
      <c r="N4" s="4" t="inlineStr">
        <is>
          <t>Exp. Energy (fJ)</t>
        </is>
      </c>
      <c r="O4" s="5" t="inlineStr">
        <is>
          <t>Cadence Measured HSNM (mV)</t>
        </is>
      </c>
      <c r="P4" s="5" t="inlineStr">
        <is>
          <t>Cadence Measured RSNM (mV)</t>
        </is>
      </c>
      <c r="Q4" s="5" t="inlineStr">
        <is>
          <t>Cadence Measured WSNM (mV)</t>
        </is>
      </c>
      <c r="R4" s="5" t="inlineStr">
        <is>
          <t>Cadence Measured Write0 Delay (ps)</t>
        </is>
      </c>
      <c r="S4" s="5" t="inlineStr">
        <is>
          <t>Cadence Measured Write1 Delay (ps)</t>
        </is>
      </c>
      <c r="T4" s="5" t="inlineStr">
        <is>
          <t>Cadence Measured Worst Delay (ps)</t>
        </is>
      </c>
      <c r="U4" s="5" t="inlineStr">
        <is>
          <t>Cadence Measured Hold Leakage (nA)</t>
        </is>
      </c>
      <c r="V4" s="5" t="inlineStr">
        <is>
          <t>Cadence Measured Write Energy (fJ)</t>
        </is>
      </c>
      <c r="W4" s="5" t="inlineStr">
        <is>
          <t>Read Functionality (Pass/Fail)</t>
        </is>
      </c>
      <c r="X4" s="5" t="inlineStr">
        <is>
          <t>Write Functionality (Pass/Fail)</t>
        </is>
      </c>
      <c r="Y4" s="5" t="inlineStr">
        <is>
          <t>Hold Functionality (Pass/Fail)</t>
        </is>
      </c>
      <c r="Z4" s="6" t="inlineStr">
        <is>
          <t>HSNM Error (%)</t>
        </is>
      </c>
      <c r="AA4" s="6" t="inlineStr">
        <is>
          <t>RSNM Error (%)</t>
        </is>
      </c>
      <c r="AB4" s="6" t="inlineStr">
        <is>
          <t>WSNM Error (%)</t>
        </is>
      </c>
      <c r="AC4" s="6" t="inlineStr">
        <is>
          <t>Delay Error (%)</t>
        </is>
      </c>
      <c r="AD4" s="6" t="inlineStr">
        <is>
          <t>Leakage Error (%)</t>
        </is>
      </c>
      <c r="AE4" s="6" t="inlineStr">
        <is>
          <t>Energy Error (%)</t>
        </is>
      </c>
      <c r="AF4" s="6" t="inlineStr">
        <is>
          <t>Verification Verdict</t>
        </is>
      </c>
    </row>
    <row r="5" ht="25" customHeight="1">
      <c r="A5" s="7" t="inlineStr">
        <is>
          <t>A</t>
        </is>
      </c>
      <c r="B5" s="8" t="inlineStr">
        <is>
          <t>Low-Power SRAM</t>
        </is>
      </c>
      <c r="C5" s="7" t="n">
        <v>1</v>
      </c>
      <c r="D5" s="7" t="n">
        <v>1</v>
      </c>
      <c r="E5" s="7" t="n">
        <v>1</v>
      </c>
      <c r="F5" s="7" t="n">
        <v>1</v>
      </c>
      <c r="G5" s="7" t="n">
        <v>1</v>
      </c>
      <c r="H5" s="7" t="n">
        <v>0.9</v>
      </c>
      <c r="I5" s="9" t="n">
        <v>281.59</v>
      </c>
      <c r="J5" s="9" t="n">
        <v>145.38</v>
      </c>
      <c r="K5" s="9" t="n">
        <v>303.19</v>
      </c>
      <c r="L5" s="9" t="n">
        <v>149.97</v>
      </c>
      <c r="M5" s="9" t="n">
        <v>17.5599</v>
      </c>
      <c r="N5" s="9" t="n">
        <v>0.833298</v>
      </c>
      <c r="O5" s="10" t="n">
        <v>281.54</v>
      </c>
      <c r="P5" s="10" t="n">
        <v>145.1</v>
      </c>
      <c r="Q5" s="10" t="n">
        <v>302</v>
      </c>
      <c r="R5" s="10" t="n">
        <v>149.87</v>
      </c>
      <c r="S5" s="10" t="n">
        <v>149.87</v>
      </c>
      <c r="T5" s="10" t="n">
        <v>149.87</v>
      </c>
      <c r="U5" s="10" t="n">
        <v>17.56</v>
      </c>
      <c r="V5" s="10" t="n">
        <v>0.833</v>
      </c>
      <c r="W5" s="11" t="inlineStr">
        <is>
          <t>Pass</t>
        </is>
      </c>
      <c r="X5" s="11" t="inlineStr">
        <is>
          <t>Pass</t>
        </is>
      </c>
      <c r="Y5" s="11" t="inlineStr">
        <is>
          <t>Pass</t>
        </is>
      </c>
      <c r="Z5" s="12">
        <f>IF(O5="","",ABS(O5-I5)/I5*100)</f>
        <v/>
      </c>
      <c r="AA5" s="12">
        <f>IF(P5="","",ABS(P5-J5)/J5*100)</f>
        <v/>
      </c>
      <c r="AB5" s="12">
        <f>IF(Q5="","",ABS(Q5-K5)/K5*100)</f>
        <v/>
      </c>
      <c r="AC5" s="12">
        <f>IF(T5="","",ABS(T5-L5)/L5*100)</f>
        <v/>
      </c>
      <c r="AD5" s="12">
        <f>IF(U5="","",ABS(U5-M5)/M5*100)</f>
        <v/>
      </c>
      <c r="AE5" s="12">
        <f>IF(V5="","",ABS(V5-N5)/N5*100)</f>
        <v/>
      </c>
      <c r="AF5" s="13">
        <f>IF(P5="","PENDING",IF(AND(W5="Pass",X5="Pass",Y5="Pass"),"VERIFIED PASS","FAIL"))</f>
        <v/>
      </c>
    </row>
    <row r="6" ht="25" customHeight="1">
      <c r="A6" s="7" t="inlineStr">
        <is>
          <t>B</t>
        </is>
      </c>
      <c r="B6" s="8" t="inlineStr">
        <is>
          <t>Balanced SRAM Reference</t>
        </is>
      </c>
      <c r="C6" s="7" t="n">
        <v>1</v>
      </c>
      <c r="D6" s="7" t="n">
        <v>1</v>
      </c>
      <c r="E6" s="7" t="n">
        <v>1</v>
      </c>
      <c r="F6" s="7" t="n">
        <v>1</v>
      </c>
      <c r="G6" s="7" t="n">
        <v>1</v>
      </c>
      <c r="H6" s="7" t="n">
        <v>1.2</v>
      </c>
      <c r="I6" s="9" t="n">
        <v>371.37</v>
      </c>
      <c r="J6" s="9" t="n">
        <v>190.46</v>
      </c>
      <c r="K6" s="9" t="n">
        <v>433.14</v>
      </c>
      <c r="L6" s="9" t="n">
        <v>144.59</v>
      </c>
      <c r="M6" s="9" t="n">
        <v>31.4184</v>
      </c>
      <c r="N6" s="9" t="n">
        <v>1.775785</v>
      </c>
      <c r="O6" s="10" t="n">
        <v>368.11</v>
      </c>
      <c r="P6" s="10" t="n">
        <v>190.22</v>
      </c>
      <c r="Q6" s="10" t="n">
        <v>432</v>
      </c>
      <c r="R6" s="10" t="n">
        <v>144.53</v>
      </c>
      <c r="S6" s="10" t="n">
        <v>144.53</v>
      </c>
      <c r="T6" s="10" t="n">
        <v>144.53</v>
      </c>
      <c r="U6" s="10" t="n">
        <v>31.42</v>
      </c>
      <c r="V6" s="10" t="n">
        <v>1.776</v>
      </c>
      <c r="W6" s="11" t="inlineStr">
        <is>
          <t>Pass</t>
        </is>
      </c>
      <c r="X6" s="11" t="inlineStr">
        <is>
          <t>Pass</t>
        </is>
      </c>
      <c r="Y6" s="11" t="inlineStr">
        <is>
          <t>Pass</t>
        </is>
      </c>
      <c r="Z6" s="12">
        <f>IF(O6="","",ABS(O6-I6)/I6*100)</f>
        <v/>
      </c>
      <c r="AA6" s="12">
        <f>IF(P6="","",ABS(P6-J6)/J6*100)</f>
        <v/>
      </c>
      <c r="AB6" s="12">
        <f>IF(Q6="","",ABS(Q6-K6)/K6*100)</f>
        <v/>
      </c>
      <c r="AC6" s="12">
        <f>IF(T6="","",ABS(T6-L6)/L6*100)</f>
        <v/>
      </c>
      <c r="AD6" s="12">
        <f>IF(U6="","",ABS(U6-M6)/M6*100)</f>
        <v/>
      </c>
      <c r="AE6" s="12">
        <f>IF(V6="","",ABS(V6-N6)/N6*100)</f>
        <v/>
      </c>
      <c r="AF6" s="13">
        <f>IF(P6="","PENDING",IF(AND(W6="Pass",X6="Pass",Y6="Pass"),"VERIFIED PASS","FAIL"))</f>
        <v/>
      </c>
    </row>
    <row r="7" ht="25" customHeight="1">
      <c r="A7" s="7" t="inlineStr">
        <is>
          <t>C</t>
        </is>
      </c>
      <c r="B7" s="8" t="inlineStr">
        <is>
          <t>Fast SRAM</t>
        </is>
      </c>
      <c r="C7" s="7" t="n">
        <v>5</v>
      </c>
      <c r="D7" s="7" t="n">
        <v>2</v>
      </c>
      <c r="E7" s="7" t="n">
        <v>4</v>
      </c>
      <c r="F7" s="7" t="n">
        <v>0.5</v>
      </c>
      <c r="G7" s="7" t="n">
        <v>1.25</v>
      </c>
      <c r="H7" s="7" t="n">
        <v>1.2</v>
      </c>
      <c r="I7" s="9" t="n">
        <v>350.49</v>
      </c>
      <c r="J7" s="9" t="n">
        <v>153.69</v>
      </c>
      <c r="K7" s="9" t="n">
        <v>503.19</v>
      </c>
      <c r="L7" s="9" t="n">
        <v>134.19</v>
      </c>
      <c r="M7" s="9" t="n">
        <v>67.1764</v>
      </c>
      <c r="N7" s="9" t="n">
        <v>4.268155</v>
      </c>
      <c r="O7" s="10" t="n">
        <v>350.68</v>
      </c>
      <c r="P7" s="10" t="n">
        <v>153.49</v>
      </c>
      <c r="Q7" s="10" t="n">
        <v>503</v>
      </c>
      <c r="R7" s="10" t="n">
        <v>134.58</v>
      </c>
      <c r="S7" s="10" t="n">
        <v>134.58</v>
      </c>
      <c r="T7" s="10" t="n">
        <v>134.58</v>
      </c>
      <c r="U7" s="10" t="n">
        <v>67.18000000000001</v>
      </c>
      <c r="V7" s="10" t="n">
        <v>4.268</v>
      </c>
      <c r="W7" s="11" t="inlineStr">
        <is>
          <t>Pass</t>
        </is>
      </c>
      <c r="X7" s="11" t="inlineStr">
        <is>
          <t>Pass</t>
        </is>
      </c>
      <c r="Y7" s="11" t="inlineStr">
        <is>
          <t>Pass</t>
        </is>
      </c>
      <c r="Z7" s="12">
        <f>IF(O7="","",ABS(O7-I7)/I7*100)</f>
        <v/>
      </c>
      <c r="AA7" s="12">
        <f>IF(P7="","",ABS(P7-J7)/J7*100)</f>
        <v/>
      </c>
      <c r="AB7" s="12">
        <f>IF(Q7="","",ABS(Q7-K7)/K7*100)</f>
        <v/>
      </c>
      <c r="AC7" s="12">
        <f>IF(T7="","",ABS(T7-L7)/L7*100)</f>
        <v/>
      </c>
      <c r="AD7" s="12">
        <f>IF(U7="","",ABS(U7-M7)/M7*100)</f>
        <v/>
      </c>
      <c r="AE7" s="12">
        <f>IF(V7="","",ABS(V7-N7)/N7*100)</f>
        <v/>
      </c>
      <c r="AF7" s="13">
        <f>IF(P7="","PENDING",IF(AND(W7="Pass",X7="Pass",Y7="Pass"),"VERIFIED PASS","FAIL"))</f>
        <v/>
      </c>
    </row>
    <row r="8" ht="25" customHeight="1">
      <c r="A8" s="7" t="inlineStr">
        <is>
          <t>D</t>
        </is>
      </c>
      <c r="B8" s="8" t="inlineStr">
        <is>
          <t>CR-Enhanced Stability Reference</t>
        </is>
      </c>
      <c r="C8" s="7" t="n">
        <v>2</v>
      </c>
      <c r="D8" s="7" t="n">
        <v>3</v>
      </c>
      <c r="E8" s="7" t="n">
        <v>2</v>
      </c>
      <c r="F8" s="7" t="n">
        <v>1.5</v>
      </c>
      <c r="G8" s="7" t="n">
        <v>1</v>
      </c>
      <c r="H8" s="7" t="n">
        <v>1.2</v>
      </c>
      <c r="I8" s="9" t="n">
        <v>339.71</v>
      </c>
      <c r="J8" s="9" t="n">
        <v>204.52</v>
      </c>
      <c r="K8" s="9" t="n">
        <v>373.19</v>
      </c>
      <c r="L8" s="9" t="n">
        <v>143.93</v>
      </c>
      <c r="M8" s="9" t="n">
        <v>80.7921</v>
      </c>
      <c r="N8" s="9" t="n">
        <v>3.70439</v>
      </c>
      <c r="O8" s="10" t="n">
        <v>339.56</v>
      </c>
      <c r="P8" s="10" t="n">
        <v>204.26</v>
      </c>
      <c r="Q8" s="10" t="n">
        <v>373</v>
      </c>
      <c r="R8" s="10" t="n">
        <v>144.24</v>
      </c>
      <c r="S8" s="10" t="n">
        <v>144.24</v>
      </c>
      <c r="T8" s="10" t="n">
        <v>144.24</v>
      </c>
      <c r="U8" s="10" t="n">
        <v>80.79000000000001</v>
      </c>
      <c r="V8" s="10" t="n">
        <v>3.704</v>
      </c>
      <c r="W8" s="11" t="inlineStr">
        <is>
          <t>Pass</t>
        </is>
      </c>
      <c r="X8" s="11" t="inlineStr">
        <is>
          <t>Pass</t>
        </is>
      </c>
      <c r="Y8" s="11" t="inlineStr">
        <is>
          <t>Pass</t>
        </is>
      </c>
      <c r="Z8" s="12">
        <f>IF(O8="","",ABS(O8-I8)/I8*100)</f>
        <v/>
      </c>
      <c r="AA8" s="12">
        <f>IF(P8="","",ABS(P8-J8)/J8*100)</f>
        <v/>
      </c>
      <c r="AB8" s="12">
        <f>IF(Q8="","",ABS(Q8-K8)/K8*100)</f>
        <v/>
      </c>
      <c r="AC8" s="12">
        <f>IF(T8="","",ABS(T8-L8)/L8*100)</f>
        <v/>
      </c>
      <c r="AD8" s="12">
        <f>IF(U8="","",ABS(U8-M8)/M8*100)</f>
        <v/>
      </c>
      <c r="AE8" s="12">
        <f>IF(V8="","",ABS(V8-N8)/N8*100)</f>
        <v/>
      </c>
      <c r="AF8" s="13">
        <f>IF(P8="","PENDING",IF(AND(W8="Pass",X8="Pass",Y8="Pass"),"VERIFIED PASS","FAIL"))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  <col width="19" customWidth="1" min="13" max="13"/>
    <col width="29" customWidth="1" min="14" max="14"/>
    <col width="29" customWidth="1" min="15" max="15"/>
    <col width="29" customWidth="1" min="16" max="16"/>
    <col width="30" customWidth="1" min="17" max="17"/>
    <col width="32" customWidth="1" min="18" max="18"/>
    <col width="31" customWidth="1" min="19" max="19"/>
    <col width="26" customWidth="1" min="20" max="20"/>
    <col width="38" customWidth="1" min="21" max="21"/>
    <col width="38" customWidth="1" min="22" max="22"/>
    <col width="53" customWidth="1" min="23" max="23"/>
  </cols>
  <sheetData>
    <row r="1">
      <c r="A1" s="1" t="inlineStr">
        <is>
          <t>6T FinFET SRAM — Full 8-VDD Robustness Verification Sweep</t>
        </is>
      </c>
    </row>
    <row r="2">
      <c r="A2" s="2" t="inlineStr">
        <is>
          <t>Re-simulation across all 8 supply voltages (0.6V to 1.3V) to prove wide-voltage functional envelope</t>
        </is>
      </c>
    </row>
    <row r="4" ht="38" customHeight="1">
      <c r="A4" s="3" t="inlineStr">
        <is>
          <t>Config ID</t>
        </is>
      </c>
      <c r="B4" s="3" t="inlineStr">
        <is>
          <t>SRAM Role</t>
        </is>
      </c>
      <c r="C4" s="3" t="inlineStr">
        <is>
          <t>PU/PD/ACC</t>
        </is>
      </c>
      <c r="D4" s="3" t="inlineStr">
        <is>
          <t>CR</t>
        </is>
      </c>
      <c r="E4" s="3" t="inlineStr">
        <is>
          <t>PR</t>
        </is>
      </c>
      <c r="F4" s="3" t="inlineStr">
        <is>
          <t>VDD (V)</t>
        </is>
      </c>
      <c r="G4" s="4" t="inlineStr">
        <is>
          <t>Expected Status</t>
        </is>
      </c>
      <c r="H4" s="4" t="inlineStr">
        <is>
          <t>Exp. HSNM (mV)</t>
        </is>
      </c>
      <c r="I4" s="4" t="inlineStr">
        <is>
          <t>Exp. RSNM (mV)</t>
        </is>
      </c>
      <c r="J4" s="4" t="inlineStr">
        <is>
          <t>Exp. WSNM (mV)</t>
        </is>
      </c>
      <c r="K4" s="4" t="inlineStr">
        <is>
          <t>Exp. Delay (ps)</t>
        </is>
      </c>
      <c r="L4" s="4" t="inlineStr">
        <is>
          <t>Exp. Leakage (nA)</t>
        </is>
      </c>
      <c r="M4" s="4" t="inlineStr">
        <is>
          <t>Exp. Energy (fJ)</t>
        </is>
      </c>
      <c r="N4" s="5" t="inlineStr">
        <is>
          <t>Cadence Measured HSNM (mV)</t>
        </is>
      </c>
      <c r="O4" s="5" t="inlineStr">
        <is>
          <t>Cadence Measured RSNM (mV)</t>
        </is>
      </c>
      <c r="P4" s="5" t="inlineStr">
        <is>
          <t>Cadence Measured WSNM (mV)</t>
        </is>
      </c>
      <c r="Q4" s="5" t="inlineStr">
        <is>
          <t>Cadence Measured Delay (ps)</t>
        </is>
      </c>
      <c r="R4" s="5" t="inlineStr">
        <is>
          <t>Cadence Measured Leakage (nA)</t>
        </is>
      </c>
      <c r="S4" s="5" t="inlineStr">
        <is>
          <t>Cadence Measured Energy (fJ)</t>
        </is>
      </c>
      <c r="T4" s="5" t="inlineStr">
        <is>
          <t>Functional? (Pass/Fail)</t>
        </is>
      </c>
      <c r="U4" s="6" t="inlineStr">
        <is>
          <t>RSNM Error (%)</t>
        </is>
      </c>
      <c r="V4" s="6" t="inlineStr">
        <is>
          <t>Delay Error (%)</t>
        </is>
      </c>
      <c r="W4" s="6" t="inlineStr">
        <is>
          <t>Verdict</t>
        </is>
      </c>
    </row>
    <row r="5" ht="20" customHeight="1">
      <c r="A5" s="8" t="inlineStr">
        <is>
          <t>Cell A/B (1/1/1)</t>
        </is>
      </c>
      <c r="B5" s="8" t="inlineStr">
        <is>
          <t>Low-Power &amp; Balanced</t>
        </is>
      </c>
      <c r="C5" s="7" t="inlineStr">
        <is>
          <t>1/1/1</t>
        </is>
      </c>
      <c r="D5" s="7" t="n">
        <v>1</v>
      </c>
      <c r="E5" s="7" t="n">
        <v>1</v>
      </c>
      <c r="F5" s="7" t="inlineStr">
        <is>
          <t>0.6 V</t>
        </is>
      </c>
      <c r="G5" s="7" t="inlineStr">
        <is>
          <t>FEASIBLE</t>
        </is>
      </c>
      <c r="H5" s="9" t="n">
        <v>186.44</v>
      </c>
      <c r="I5" s="9" t="n">
        <v>98.19</v>
      </c>
      <c r="J5" s="9" t="n">
        <v>193.18</v>
      </c>
      <c r="K5" s="9" t="n">
        <v>161.68</v>
      </c>
      <c r="L5" s="9" t="n">
        <v>9.0136</v>
      </c>
      <c r="M5" s="9" t="n">
        <v>0.298273</v>
      </c>
      <c r="N5" s="10" t="n"/>
      <c r="O5" s="10" t="n"/>
      <c r="P5" s="10" t="n"/>
      <c r="Q5" s="10" t="n"/>
      <c r="R5" s="10" t="n"/>
      <c r="S5" s="10" t="n"/>
      <c r="T5" s="11" t="n"/>
      <c r="U5" s="12">
        <f>IF(O5="","",ABS(O5-I5)/I5*100)</f>
        <v/>
      </c>
      <c r="V5" s="12">
        <f>IF(Q5="","",ABS(Q5-K5)/K5*100)</f>
        <v/>
      </c>
      <c r="W5" s="13">
        <f>IF(T5="","PENDING",IF(T5="Pass","PASS","FAIL"))</f>
        <v/>
      </c>
    </row>
    <row r="6" ht="20" customHeight="1">
      <c r="A6" s="8" t="inlineStr">
        <is>
          <t>Cell A/B (1/1/1)</t>
        </is>
      </c>
      <c r="B6" s="8" t="inlineStr">
        <is>
          <t>Low-Power &amp; Balanced</t>
        </is>
      </c>
      <c r="C6" s="7" t="inlineStr">
        <is>
          <t>1/1/1</t>
        </is>
      </c>
      <c r="D6" s="7" t="n">
        <v>1</v>
      </c>
      <c r="E6" s="7" t="n">
        <v>1</v>
      </c>
      <c r="F6" s="7" t="inlineStr">
        <is>
          <t>0.7 V</t>
        </is>
      </c>
      <c r="G6" s="7" t="inlineStr">
        <is>
          <t>FEASIBLE</t>
        </is>
      </c>
      <c r="H6" s="9" t="n">
        <v>218.12</v>
      </c>
      <c r="I6" s="9" t="n">
        <v>114.37</v>
      </c>
      <c r="J6" s="9" t="n">
        <v>228.21</v>
      </c>
      <c r="K6" s="9" t="n">
        <v>156.02</v>
      </c>
      <c r="L6" s="9" t="n">
        <v>11.40685</v>
      </c>
      <c r="M6" s="9" t="n">
        <v>0.439876</v>
      </c>
      <c r="N6" s="10" t="n"/>
      <c r="O6" s="10" t="n"/>
      <c r="P6" s="10" t="n"/>
      <c r="Q6" s="10" t="n"/>
      <c r="R6" s="10" t="n"/>
      <c r="S6" s="10" t="n"/>
      <c r="T6" s="11" t="n"/>
      <c r="U6" s="12">
        <f>IF(O6="","",ABS(O6-I6)/I6*100)</f>
        <v/>
      </c>
      <c r="V6" s="12">
        <f>IF(Q6="","",ABS(Q6-K6)/K6*100)</f>
        <v/>
      </c>
      <c r="W6" s="13">
        <f>IF(T6="","PENDING",IF(T6="Pass","PASS","FAIL"))</f>
        <v/>
      </c>
    </row>
    <row r="7" ht="20" customHeight="1">
      <c r="A7" s="8" t="inlineStr">
        <is>
          <t>Cell A/B (1/1/1)</t>
        </is>
      </c>
      <c r="B7" s="8" t="inlineStr">
        <is>
          <t>Low-Power &amp; Balanced</t>
        </is>
      </c>
      <c r="C7" s="7" t="inlineStr">
        <is>
          <t>1/1/1</t>
        </is>
      </c>
      <c r="D7" s="7" t="n">
        <v>1</v>
      </c>
      <c r="E7" s="7" t="n">
        <v>1</v>
      </c>
      <c r="F7" s="7" t="inlineStr">
        <is>
          <t>0.8 V</t>
        </is>
      </c>
      <c r="G7" s="7" t="inlineStr">
        <is>
          <t>FEASIBLE</t>
        </is>
      </c>
      <c r="H7" s="9" t="n">
        <v>249.83</v>
      </c>
      <c r="I7" s="9" t="n">
        <v>130.01</v>
      </c>
      <c r="J7" s="9" t="n">
        <v>263.17</v>
      </c>
      <c r="K7" s="9" t="n">
        <v>152.47</v>
      </c>
      <c r="L7" s="9" t="n">
        <v>14.01585</v>
      </c>
      <c r="M7" s="9" t="n">
        <v>0.615702</v>
      </c>
      <c r="N7" s="10" t="n"/>
      <c r="O7" s="10" t="n"/>
      <c r="P7" s="10" t="n"/>
      <c r="Q7" s="10" t="n"/>
      <c r="R7" s="10" t="n"/>
      <c r="S7" s="10" t="n"/>
      <c r="T7" s="11" t="n"/>
      <c r="U7" s="12">
        <f>IF(O7="","",ABS(O7-I7)/I7*100)</f>
        <v/>
      </c>
      <c r="V7" s="12">
        <f>IF(Q7="","",ABS(Q7-K7)/K7*100)</f>
        <v/>
      </c>
      <c r="W7" s="13">
        <f>IF(T7="","PENDING",IF(T7="Pass","PASS","FAIL"))</f>
        <v/>
      </c>
    </row>
    <row r="8" ht="20" customHeight="1">
      <c r="A8" s="8" t="inlineStr">
        <is>
          <t>Cell A/B (1/1/1)</t>
        </is>
      </c>
      <c r="B8" s="8" t="inlineStr">
        <is>
          <t>Low-Power &amp; Balanced</t>
        </is>
      </c>
      <c r="C8" s="7" t="inlineStr">
        <is>
          <t>1/1/1</t>
        </is>
      </c>
      <c r="D8" s="7" t="n">
        <v>1</v>
      </c>
      <c r="E8" s="7" t="n">
        <v>1</v>
      </c>
      <c r="F8" s="7" t="inlineStr">
        <is>
          <t>0.9 V</t>
        </is>
      </c>
      <c r="G8" s="7" t="inlineStr">
        <is>
          <t>FEASIBLE</t>
        </is>
      </c>
      <c r="H8" s="9" t="n">
        <v>281.59</v>
      </c>
      <c r="I8" s="9" t="n">
        <v>145.38</v>
      </c>
      <c r="J8" s="9" t="n">
        <v>303.19</v>
      </c>
      <c r="K8" s="9" t="n">
        <v>149.97</v>
      </c>
      <c r="L8" s="9" t="n">
        <v>17.5599</v>
      </c>
      <c r="M8" s="9" t="n">
        <v>0.833298</v>
      </c>
      <c r="N8" s="10" t="n"/>
      <c r="O8" s="10" t="n"/>
      <c r="P8" s="10" t="n"/>
      <c r="Q8" s="10" t="n"/>
      <c r="R8" s="10" t="n"/>
      <c r="S8" s="10" t="n"/>
      <c r="T8" s="11" t="n"/>
      <c r="U8" s="12">
        <f>IF(O8="","",ABS(O8-I8)/I8*100)</f>
        <v/>
      </c>
      <c r="V8" s="12">
        <f>IF(Q8="","",ABS(Q8-K8)/K8*100)</f>
        <v/>
      </c>
      <c r="W8" s="13">
        <f>IF(T8="","PENDING",IF(T8="Pass","PASS","FAIL"))</f>
        <v/>
      </c>
    </row>
    <row r="9" ht="20" customHeight="1">
      <c r="A9" s="8" t="inlineStr">
        <is>
          <t>Cell A/B (1/1/1)</t>
        </is>
      </c>
      <c r="B9" s="8" t="inlineStr">
        <is>
          <t>Low-Power &amp; Balanced</t>
        </is>
      </c>
      <c r="C9" s="7" t="inlineStr">
        <is>
          <t>1/1/1</t>
        </is>
      </c>
      <c r="D9" s="7" t="n">
        <v>1</v>
      </c>
      <c r="E9" s="7" t="n">
        <v>1</v>
      </c>
      <c r="F9" s="7" t="inlineStr">
        <is>
          <t>1.0 V</t>
        </is>
      </c>
      <c r="G9" s="7" t="inlineStr">
        <is>
          <t>FEASIBLE</t>
        </is>
      </c>
      <c r="H9" s="9" t="n">
        <v>311.89</v>
      </c>
      <c r="I9" s="9" t="n">
        <v>160.57</v>
      </c>
      <c r="J9" s="9" t="n">
        <v>343.15</v>
      </c>
      <c r="K9" s="9" t="n">
        <v>147.82</v>
      </c>
      <c r="L9" s="9" t="n">
        <v>21.38855</v>
      </c>
      <c r="M9" s="9" t="n">
        <v>1.09786</v>
      </c>
      <c r="N9" s="10" t="n"/>
      <c r="O9" s="10" t="n"/>
      <c r="P9" s="10" t="n"/>
      <c r="Q9" s="10" t="n"/>
      <c r="R9" s="10" t="n"/>
      <c r="S9" s="10" t="n"/>
      <c r="T9" s="11" t="n"/>
      <c r="U9" s="12">
        <f>IF(O9="","",ABS(O9-I9)/I9*100)</f>
        <v/>
      </c>
      <c r="V9" s="12">
        <f>IF(Q9="","",ABS(Q9-K9)/K9*100)</f>
        <v/>
      </c>
      <c r="W9" s="13">
        <f>IF(T9="","PENDING",IF(T9="Pass","PASS","FAIL"))</f>
        <v/>
      </c>
    </row>
    <row r="10" ht="20" customHeight="1">
      <c r="A10" s="8" t="inlineStr">
        <is>
          <t>Cell A/B (1/1/1)</t>
        </is>
      </c>
      <c r="B10" s="8" t="inlineStr">
        <is>
          <t>Low-Power &amp; Balanced</t>
        </is>
      </c>
      <c r="C10" s="7" t="inlineStr">
        <is>
          <t>1/1/1</t>
        </is>
      </c>
      <c r="D10" s="7" t="n">
        <v>1</v>
      </c>
      <c r="E10" s="7" t="n">
        <v>1</v>
      </c>
      <c r="F10" s="7" t="inlineStr">
        <is>
          <t>1.1 V</t>
        </is>
      </c>
      <c r="G10" s="7" t="inlineStr">
        <is>
          <t>FEASIBLE</t>
        </is>
      </c>
      <c r="H10" s="9" t="n">
        <v>340.2</v>
      </c>
      <c r="I10" s="9" t="n">
        <v>175.61</v>
      </c>
      <c r="J10" s="9" t="n">
        <v>388.17</v>
      </c>
      <c r="K10" s="9" t="n">
        <v>146.02</v>
      </c>
      <c r="L10" s="9" t="n">
        <v>26.03515</v>
      </c>
      <c r="M10" s="9" t="n">
        <v>1.41025</v>
      </c>
      <c r="N10" s="10" t="n"/>
      <c r="O10" s="10" t="n"/>
      <c r="P10" s="10" t="n"/>
      <c r="Q10" s="10" t="n"/>
      <c r="R10" s="10" t="n"/>
      <c r="S10" s="10" t="n"/>
      <c r="T10" s="11" t="n"/>
      <c r="U10" s="12">
        <f>IF(O10="","",ABS(O10-I10)/I10*100)</f>
        <v/>
      </c>
      <c r="V10" s="12">
        <f>IF(Q10="","",ABS(Q10-K10)/K10*100)</f>
        <v/>
      </c>
      <c r="W10" s="13">
        <f>IF(T10="","PENDING",IF(T10="Pass","PASS","FAIL"))</f>
        <v/>
      </c>
    </row>
    <row r="11" ht="20" customHeight="1">
      <c r="A11" s="8" t="inlineStr">
        <is>
          <t>Cell A/B (1/1/1)</t>
        </is>
      </c>
      <c r="B11" s="8" t="inlineStr">
        <is>
          <t>Low-Power &amp; Balanced</t>
        </is>
      </c>
      <c r="C11" s="7" t="inlineStr">
        <is>
          <t>1/1/1</t>
        </is>
      </c>
      <c r="D11" s="7" t="n">
        <v>1</v>
      </c>
      <c r="E11" s="7" t="n">
        <v>1</v>
      </c>
      <c r="F11" s="7" t="inlineStr">
        <is>
          <t>1.2 V</t>
        </is>
      </c>
      <c r="G11" s="7" t="inlineStr">
        <is>
          <t>FEASIBLE</t>
        </is>
      </c>
      <c r="H11" s="9" t="n">
        <v>371.37</v>
      </c>
      <c r="I11" s="9" t="n">
        <v>190.46</v>
      </c>
      <c r="J11" s="9" t="n">
        <v>433.14</v>
      </c>
      <c r="K11" s="9" t="n">
        <v>144.59</v>
      </c>
      <c r="L11" s="9" t="n">
        <v>31.4184</v>
      </c>
      <c r="M11" s="9" t="n">
        <v>1.775785</v>
      </c>
      <c r="N11" s="10" t="n"/>
      <c r="O11" s="10" t="n"/>
      <c r="P11" s="10" t="n"/>
      <c r="Q11" s="10" t="n"/>
      <c r="R11" s="10" t="n"/>
      <c r="S11" s="10" t="n"/>
      <c r="T11" s="11" t="n"/>
      <c r="U11" s="12">
        <f>IF(O11="","",ABS(O11-I11)/I11*100)</f>
        <v/>
      </c>
      <c r="V11" s="12">
        <f>IF(Q11="","",ABS(Q11-K11)/K11*100)</f>
        <v/>
      </c>
      <c r="W11" s="13">
        <f>IF(T11="","PENDING",IF(T11="Pass","PASS","FAIL"))</f>
        <v/>
      </c>
    </row>
    <row r="12" ht="20" customHeight="1">
      <c r="A12" s="8" t="inlineStr">
        <is>
          <t>Cell A/B (1/1/1)</t>
        </is>
      </c>
      <c r="B12" s="8" t="inlineStr">
        <is>
          <t>Low-Power &amp; Balanced</t>
        </is>
      </c>
      <c r="C12" s="7" t="inlineStr">
        <is>
          <t>1/1/1</t>
        </is>
      </c>
      <c r="D12" s="7" t="n">
        <v>1</v>
      </c>
      <c r="E12" s="7" t="n">
        <v>1</v>
      </c>
      <c r="F12" s="7" t="inlineStr">
        <is>
          <t>1.3 V</t>
        </is>
      </c>
      <c r="G12" s="7" t="inlineStr">
        <is>
          <t>FEASIBLE</t>
        </is>
      </c>
      <c r="H12" s="9" t="n">
        <v>399.16</v>
      </c>
      <c r="I12" s="9" t="n">
        <v>204.14</v>
      </c>
      <c r="J12" s="9" t="n">
        <v>483.15</v>
      </c>
      <c r="K12" s="9" t="n">
        <v>143.27</v>
      </c>
      <c r="L12" s="9" t="n">
        <v>37.66305</v>
      </c>
      <c r="M12" s="9" t="n">
        <v>2.197255</v>
      </c>
      <c r="N12" s="10" t="n"/>
      <c r="O12" s="10" t="n"/>
      <c r="P12" s="10" t="n"/>
      <c r="Q12" s="10" t="n"/>
      <c r="R12" s="10" t="n"/>
      <c r="S12" s="10" t="n"/>
      <c r="T12" s="11" t="n"/>
      <c r="U12" s="12">
        <f>IF(O12="","",ABS(O12-I12)/I12*100)</f>
        <v/>
      </c>
      <c r="V12" s="12">
        <f>IF(Q12="","",ABS(Q12-K12)/K12*100)</f>
        <v/>
      </c>
      <c r="W12" s="13">
        <f>IF(T12="","PENDING",IF(T12="Pass","PASS","FAIL"))</f>
        <v/>
      </c>
    </row>
    <row r="13" ht="20" customHeight="1">
      <c r="A13" s="8" t="inlineStr">
        <is>
          <t>Cell C (5/2/4)</t>
        </is>
      </c>
      <c r="B13" s="8" t="inlineStr">
        <is>
          <t>Fast SRAM</t>
        </is>
      </c>
      <c r="C13" s="7" t="inlineStr">
        <is>
          <t>5/2/4</t>
        </is>
      </c>
      <c r="D13" s="7" t="n">
        <v>0.5</v>
      </c>
      <c r="E13" s="7" t="n">
        <v>1.25</v>
      </c>
      <c r="F13" s="7" t="inlineStr">
        <is>
          <t>0.6 V</t>
        </is>
      </c>
      <c r="G13" s="7" t="inlineStr">
        <is>
          <t>FEASIBLE</t>
        </is>
      </c>
      <c r="H13" s="9" t="n">
        <v>196.3</v>
      </c>
      <c r="I13" s="9" t="n">
        <v>83.43000000000001</v>
      </c>
      <c r="J13" s="9" t="n">
        <v>218.24</v>
      </c>
      <c r="K13" s="9" t="n">
        <v>147.99</v>
      </c>
      <c r="L13" s="9" t="n">
        <v>18.79305</v>
      </c>
      <c r="M13" s="9" t="n">
        <v>0.653716</v>
      </c>
      <c r="N13" s="10" t="n"/>
      <c r="O13" s="10" t="n"/>
      <c r="P13" s="10" t="n"/>
      <c r="Q13" s="10" t="n"/>
      <c r="R13" s="10" t="n"/>
      <c r="S13" s="10" t="n"/>
      <c r="T13" s="11" t="n"/>
      <c r="U13" s="12">
        <f>IF(O13="","",ABS(O13-I13)/I13*100)</f>
        <v/>
      </c>
      <c r="V13" s="12">
        <f>IF(Q13="","",ABS(Q13-K13)/K13*100)</f>
        <v/>
      </c>
      <c r="W13" s="13">
        <f>IF(T13="","PENDING",IF(T13="Pass","PASS","FAIL"))</f>
        <v/>
      </c>
    </row>
    <row r="14" ht="20" customHeight="1">
      <c r="A14" s="8" t="inlineStr">
        <is>
          <t>Cell C (5/2/4)</t>
        </is>
      </c>
      <c r="B14" s="8" t="inlineStr">
        <is>
          <t>Fast SRAM</t>
        </is>
      </c>
      <c r="C14" s="7" t="inlineStr">
        <is>
          <t>5/2/4</t>
        </is>
      </c>
      <c r="D14" s="7" t="n">
        <v>0.5</v>
      </c>
      <c r="E14" s="7" t="n">
        <v>1.25</v>
      </c>
      <c r="F14" s="7" t="inlineStr">
        <is>
          <t>0.7 V</t>
        </is>
      </c>
      <c r="G14" s="7" t="inlineStr">
        <is>
          <t>FEASIBLE</t>
        </is>
      </c>
      <c r="H14" s="9" t="n">
        <v>223.68</v>
      </c>
      <c r="I14" s="9" t="n">
        <v>97.03</v>
      </c>
      <c r="J14" s="9" t="n">
        <v>258.26</v>
      </c>
      <c r="K14" s="9" t="n">
        <v>144.73</v>
      </c>
      <c r="L14" s="9" t="n">
        <v>23.9525</v>
      </c>
      <c r="M14" s="9" t="n">
        <v>0.985306</v>
      </c>
      <c r="N14" s="10" t="n"/>
      <c r="O14" s="10" t="n"/>
      <c r="P14" s="10" t="n"/>
      <c r="Q14" s="10" t="n"/>
      <c r="R14" s="10" t="n"/>
      <c r="S14" s="10" t="n"/>
      <c r="T14" s="11" t="n"/>
      <c r="U14" s="12">
        <f>IF(O14="","",ABS(O14-I14)/I14*100)</f>
        <v/>
      </c>
      <c r="V14" s="12">
        <f>IF(Q14="","",ABS(Q14-K14)/K14*100)</f>
        <v/>
      </c>
      <c r="W14" s="13">
        <f>IF(T14="","PENDING",IF(T14="Pass","PASS","FAIL"))</f>
        <v/>
      </c>
    </row>
    <row r="15" ht="20" customHeight="1">
      <c r="A15" s="8" t="inlineStr">
        <is>
          <t>Cell C (5/2/4)</t>
        </is>
      </c>
      <c r="B15" s="8" t="inlineStr">
        <is>
          <t>Fast SRAM</t>
        </is>
      </c>
      <c r="C15" s="7" t="inlineStr">
        <is>
          <t>5/2/4</t>
        </is>
      </c>
      <c r="D15" s="7" t="n">
        <v>0.5</v>
      </c>
      <c r="E15" s="7" t="n">
        <v>1.25</v>
      </c>
      <c r="F15" s="7" t="inlineStr">
        <is>
          <t>0.8 V</t>
        </is>
      </c>
      <c r="G15" s="7" t="inlineStr">
        <is>
          <t>FEASIBLE</t>
        </is>
      </c>
      <c r="H15" s="9" t="n">
        <v>249.16</v>
      </c>
      <c r="I15" s="9" t="n">
        <v>109.61</v>
      </c>
      <c r="J15" s="9" t="n">
        <v>298.17</v>
      </c>
      <c r="K15" s="9" t="n">
        <v>141.96</v>
      </c>
      <c r="L15" s="9" t="n">
        <v>30.93865</v>
      </c>
      <c r="M15" s="9" t="n">
        <v>1.409765</v>
      </c>
      <c r="N15" s="10" t="n"/>
      <c r="O15" s="10" t="n"/>
      <c r="P15" s="10" t="n"/>
      <c r="Q15" s="10" t="n"/>
      <c r="R15" s="10" t="n"/>
      <c r="S15" s="10" t="n"/>
      <c r="T15" s="11" t="n"/>
      <c r="U15" s="12">
        <f>IF(O15="","",ABS(O15-I15)/I15*100)</f>
        <v/>
      </c>
      <c r="V15" s="12">
        <f>IF(Q15="","",ABS(Q15-K15)/K15*100)</f>
        <v/>
      </c>
      <c r="W15" s="13">
        <f>IF(T15="","PENDING",IF(T15="Pass","PASS","FAIL"))</f>
        <v/>
      </c>
    </row>
    <row r="16" ht="20" customHeight="1">
      <c r="A16" s="8" t="inlineStr">
        <is>
          <t>Cell C (5/2/4)</t>
        </is>
      </c>
      <c r="B16" s="8" t="inlineStr">
        <is>
          <t>Fast SRAM</t>
        </is>
      </c>
      <c r="C16" s="7" t="inlineStr">
        <is>
          <t>5/2/4</t>
        </is>
      </c>
      <c r="D16" s="7" t="n">
        <v>0.5</v>
      </c>
      <c r="E16" s="7" t="n">
        <v>1.25</v>
      </c>
      <c r="F16" s="7" t="inlineStr">
        <is>
          <t>0.9 V</t>
        </is>
      </c>
      <c r="G16" s="7" t="inlineStr">
        <is>
          <t>FEASIBLE</t>
        </is>
      </c>
      <c r="H16" s="9" t="n">
        <v>274.34</v>
      </c>
      <c r="I16" s="9" t="n">
        <v>120.95</v>
      </c>
      <c r="J16" s="9" t="n">
        <v>348.27</v>
      </c>
      <c r="K16" s="9" t="n">
        <v>139.6</v>
      </c>
      <c r="L16" s="9" t="n">
        <v>37.5896</v>
      </c>
      <c r="M16" s="9" t="n">
        <v>1.93557</v>
      </c>
      <c r="N16" s="10" t="n"/>
      <c r="O16" s="10" t="n"/>
      <c r="P16" s="10" t="n"/>
      <c r="Q16" s="10" t="n"/>
      <c r="R16" s="10" t="n"/>
      <c r="S16" s="10" t="n"/>
      <c r="T16" s="11" t="n"/>
      <c r="U16" s="12">
        <f>IF(O16="","",ABS(O16-I16)/I16*100)</f>
        <v/>
      </c>
      <c r="V16" s="12">
        <f>IF(Q16="","",ABS(Q16-K16)/K16*100)</f>
        <v/>
      </c>
      <c r="W16" s="13">
        <f>IF(T16="","PENDING",IF(T16="Pass","PASS","FAIL"))</f>
        <v/>
      </c>
    </row>
    <row r="17" ht="20" customHeight="1">
      <c r="A17" s="8" t="inlineStr">
        <is>
          <t>Cell C (5/2/4)</t>
        </is>
      </c>
      <c r="B17" s="8" t="inlineStr">
        <is>
          <t>Fast SRAM</t>
        </is>
      </c>
      <c r="C17" s="7" t="inlineStr">
        <is>
          <t>5/2/4</t>
        </is>
      </c>
      <c r="D17" s="7" t="n">
        <v>0.5</v>
      </c>
      <c r="E17" s="7" t="n">
        <v>1.25</v>
      </c>
      <c r="F17" s="7" t="inlineStr">
        <is>
          <t>1.0 V</t>
        </is>
      </c>
      <c r="G17" s="7" t="inlineStr">
        <is>
          <t>FEASIBLE</t>
        </is>
      </c>
      <c r="H17" s="9" t="n">
        <v>299.74</v>
      </c>
      <c r="I17" s="9" t="n">
        <v>132.71</v>
      </c>
      <c r="J17" s="9" t="n">
        <v>398.26</v>
      </c>
      <c r="K17" s="9" t="n">
        <v>137.68</v>
      </c>
      <c r="L17" s="9" t="n">
        <v>45.68285</v>
      </c>
      <c r="M17" s="9" t="n">
        <v>2.58997</v>
      </c>
      <c r="N17" s="10" t="n"/>
      <c r="O17" s="10" t="n"/>
      <c r="P17" s="10" t="n"/>
      <c r="Q17" s="10" t="n"/>
      <c r="R17" s="10" t="n"/>
      <c r="S17" s="10" t="n"/>
      <c r="T17" s="11" t="n"/>
      <c r="U17" s="12">
        <f>IF(O17="","",ABS(O17-I17)/I17*100)</f>
        <v/>
      </c>
      <c r="V17" s="12">
        <f>IF(Q17="","",ABS(Q17-K17)/K17*100)</f>
        <v/>
      </c>
      <c r="W17" s="13">
        <f>IF(T17="","PENDING",IF(T17="Pass","PASS","FAIL"))</f>
        <v/>
      </c>
    </row>
    <row r="18" ht="20" customHeight="1">
      <c r="A18" s="8" t="inlineStr">
        <is>
          <t>Cell C (5/2/4)</t>
        </is>
      </c>
      <c r="B18" s="8" t="inlineStr">
        <is>
          <t>Fast SRAM</t>
        </is>
      </c>
      <c r="C18" s="7" t="inlineStr">
        <is>
          <t>5/2/4</t>
        </is>
      </c>
      <c r="D18" s="7" t="n">
        <v>0.5</v>
      </c>
      <c r="E18" s="7" t="n">
        <v>1.25</v>
      </c>
      <c r="F18" s="7" t="inlineStr">
        <is>
          <t>1.1 V</t>
        </is>
      </c>
      <c r="G18" s="7" t="inlineStr">
        <is>
          <t>FEASIBLE</t>
        </is>
      </c>
      <c r="H18" s="9" t="n">
        <v>325.48</v>
      </c>
      <c r="I18" s="9" t="n">
        <v>143.95</v>
      </c>
      <c r="J18" s="9" t="n">
        <v>448.21</v>
      </c>
      <c r="K18" s="9" t="n">
        <v>135.88</v>
      </c>
      <c r="L18" s="9" t="n">
        <v>56.0673</v>
      </c>
      <c r="M18" s="9" t="n">
        <v>3.3574</v>
      </c>
      <c r="N18" s="10" t="n"/>
      <c r="O18" s="10" t="n"/>
      <c r="P18" s="10" t="n"/>
      <c r="Q18" s="10" t="n"/>
      <c r="R18" s="10" t="n"/>
      <c r="S18" s="10" t="n"/>
      <c r="T18" s="11" t="n"/>
      <c r="U18" s="12">
        <f>IF(O18="","",ABS(O18-I18)/I18*100)</f>
        <v/>
      </c>
      <c r="V18" s="12">
        <f>IF(Q18="","",ABS(Q18-K18)/K18*100)</f>
        <v/>
      </c>
      <c r="W18" s="13">
        <f>IF(T18="","PENDING",IF(T18="Pass","PASS","FAIL"))</f>
        <v/>
      </c>
    </row>
    <row r="19" ht="20" customHeight="1">
      <c r="A19" s="8" t="inlineStr">
        <is>
          <t>Cell C (5/2/4)</t>
        </is>
      </c>
      <c r="B19" s="8" t="inlineStr">
        <is>
          <t>Fast SRAM</t>
        </is>
      </c>
      <c r="C19" s="7" t="inlineStr">
        <is>
          <t>5/2/4</t>
        </is>
      </c>
      <c r="D19" s="7" t="n">
        <v>0.5</v>
      </c>
      <c r="E19" s="7" t="n">
        <v>1.25</v>
      </c>
      <c r="F19" s="7" t="inlineStr">
        <is>
          <t>1.2 V</t>
        </is>
      </c>
      <c r="G19" s="7" t="inlineStr">
        <is>
          <t>FEASIBLE</t>
        </is>
      </c>
      <c r="H19" s="9" t="n">
        <v>350.49</v>
      </c>
      <c r="I19" s="9" t="n">
        <v>153.69</v>
      </c>
      <c r="J19" s="9" t="n">
        <v>503.19</v>
      </c>
      <c r="K19" s="9" t="n">
        <v>134.19</v>
      </c>
      <c r="L19" s="9" t="n">
        <v>67.1764</v>
      </c>
      <c r="M19" s="9" t="n">
        <v>4.268155</v>
      </c>
      <c r="N19" s="10" t="n"/>
      <c r="O19" s="10" t="n"/>
      <c r="P19" s="10" t="n"/>
      <c r="Q19" s="10" t="n"/>
      <c r="R19" s="10" t="n"/>
      <c r="S19" s="10" t="n"/>
      <c r="T19" s="11" t="n"/>
      <c r="U19" s="12">
        <f>IF(O19="","",ABS(O19-I19)/I19*100)</f>
        <v/>
      </c>
      <c r="V19" s="12">
        <f>IF(Q19="","",ABS(Q19-K19)/K19*100)</f>
        <v/>
      </c>
      <c r="W19" s="13">
        <f>IF(T19="","PENDING",IF(T19="Pass","PASS","FAIL"))</f>
        <v/>
      </c>
    </row>
    <row r="20" ht="20" customHeight="1">
      <c r="A20" s="8" t="inlineStr">
        <is>
          <t>Cell C (5/2/4)</t>
        </is>
      </c>
      <c r="B20" s="8" t="inlineStr">
        <is>
          <t>Fast SRAM</t>
        </is>
      </c>
      <c r="C20" s="7" t="inlineStr">
        <is>
          <t>5/2/4</t>
        </is>
      </c>
      <c r="D20" s="7" t="n">
        <v>0.5</v>
      </c>
      <c r="E20" s="7" t="n">
        <v>1.25</v>
      </c>
      <c r="F20" s="7" t="inlineStr">
        <is>
          <t>1.3 V</t>
        </is>
      </c>
      <c r="G20" s="7" t="inlineStr">
        <is>
          <t>FEASIBLE</t>
        </is>
      </c>
      <c r="H20" s="9" t="n">
        <v>373.49</v>
      </c>
      <c r="I20" s="9" t="n">
        <v>164.33</v>
      </c>
      <c r="J20" s="9" t="n">
        <v>563.21</v>
      </c>
      <c r="K20" s="9" t="n">
        <v>132.7</v>
      </c>
      <c r="L20" s="9" t="n">
        <v>80.857</v>
      </c>
      <c r="M20" s="9" t="n">
        <v>5.376715</v>
      </c>
      <c r="N20" s="10" t="n"/>
      <c r="O20" s="10" t="n"/>
      <c r="P20" s="10" t="n"/>
      <c r="Q20" s="10" t="n"/>
      <c r="R20" s="10" t="n"/>
      <c r="S20" s="10" t="n"/>
      <c r="T20" s="11" t="n"/>
      <c r="U20" s="12">
        <f>IF(O20="","",ABS(O20-I20)/I20*100)</f>
        <v/>
      </c>
      <c r="V20" s="12">
        <f>IF(Q20="","",ABS(Q20-K20)/K20*100)</f>
        <v/>
      </c>
      <c r="W20" s="13">
        <f>IF(T20="","PENDING",IF(T20="Pass","PASS","FAIL"))</f>
        <v/>
      </c>
    </row>
    <row r="21" ht="20" customHeight="1">
      <c r="A21" s="8" t="inlineStr">
        <is>
          <t>Cell D (2/3/2)</t>
        </is>
      </c>
      <c r="B21" s="8" t="inlineStr">
        <is>
          <t>CR-Enhanced Stability</t>
        </is>
      </c>
      <c r="C21" s="7" t="inlineStr">
        <is>
          <t>2/3/2</t>
        </is>
      </c>
      <c r="D21" s="7" t="n">
        <v>1.5</v>
      </c>
      <c r="E21" s="7" t="n">
        <v>1</v>
      </c>
      <c r="F21" s="7" t="inlineStr">
        <is>
          <t>0.6 V</t>
        </is>
      </c>
      <c r="G21" s="7" t="inlineStr">
        <is>
          <t>FEASIBLE</t>
        </is>
      </c>
      <c r="H21" s="9" t="n">
        <v>176.57</v>
      </c>
      <c r="I21" s="9" t="n">
        <v>106.81</v>
      </c>
      <c r="J21" s="9" t="n">
        <v>173.27</v>
      </c>
      <c r="K21" s="9" t="n">
        <v>158.18</v>
      </c>
      <c r="L21" s="9" t="n">
        <v>20.20615</v>
      </c>
      <c r="M21" s="9" t="n">
        <v>0.562002</v>
      </c>
      <c r="N21" s="10" t="n"/>
      <c r="O21" s="10" t="n"/>
      <c r="P21" s="10" t="n"/>
      <c r="Q21" s="10" t="n"/>
      <c r="R21" s="10" t="n"/>
      <c r="S21" s="10" t="n"/>
      <c r="T21" s="11" t="n"/>
      <c r="U21" s="12">
        <f>IF(O21="","",ABS(O21-I21)/I21*100)</f>
        <v/>
      </c>
      <c r="V21" s="12">
        <f>IF(Q21="","",ABS(Q21-K21)/K21*100)</f>
        <v/>
      </c>
      <c r="W21" s="13">
        <f>IF(T21="","PENDING",IF(T21="Pass","PASS","FAIL"))</f>
        <v/>
      </c>
    </row>
    <row r="22" ht="20" customHeight="1">
      <c r="A22" s="8" t="inlineStr">
        <is>
          <t>Cell D (2/3/2)</t>
        </is>
      </c>
      <c r="B22" s="8" t="inlineStr">
        <is>
          <t>CR-Enhanced Stability</t>
        </is>
      </c>
      <c r="C22" s="7" t="inlineStr">
        <is>
          <t>2/3/2</t>
        </is>
      </c>
      <c r="D22" s="7" t="n">
        <v>1.5</v>
      </c>
      <c r="E22" s="7" t="n">
        <v>1</v>
      </c>
      <c r="F22" s="7" t="inlineStr">
        <is>
          <t>0.7 V</t>
        </is>
      </c>
      <c r="G22" s="7" t="inlineStr">
        <is>
          <t>FEASIBLE</t>
        </is>
      </c>
      <c r="H22" s="9" t="n">
        <v>206.34</v>
      </c>
      <c r="I22" s="9" t="n">
        <v>123.94</v>
      </c>
      <c r="J22" s="9" t="n">
        <v>198.16</v>
      </c>
      <c r="K22" s="9" t="n">
        <v>153.69</v>
      </c>
      <c r="L22" s="9" t="n">
        <v>26.17315</v>
      </c>
      <c r="M22" s="9" t="n">
        <v>0.844942</v>
      </c>
      <c r="N22" s="10" t="n"/>
      <c r="O22" s="10" t="n"/>
      <c r="P22" s="10" t="n"/>
      <c r="Q22" s="10" t="n"/>
      <c r="R22" s="10" t="n"/>
      <c r="S22" s="10" t="n"/>
      <c r="T22" s="11" t="n"/>
      <c r="U22" s="12">
        <f>IF(O22="","",ABS(O22-I22)/I22*100)</f>
        <v/>
      </c>
      <c r="V22" s="12">
        <f>IF(Q22="","",ABS(Q22-K22)/K22*100)</f>
        <v/>
      </c>
      <c r="W22" s="13">
        <f>IF(T22="","PENDING",IF(T22="Pass","PASS","FAIL"))</f>
        <v/>
      </c>
    </row>
    <row r="23" ht="20" customHeight="1">
      <c r="A23" s="8" t="inlineStr">
        <is>
          <t>Cell D (2/3/2)</t>
        </is>
      </c>
      <c r="B23" s="8" t="inlineStr">
        <is>
          <t>CR-Enhanced Stability</t>
        </is>
      </c>
      <c r="C23" s="7" t="inlineStr">
        <is>
          <t>2/3/2</t>
        </is>
      </c>
      <c r="D23" s="7" t="n">
        <v>1.5</v>
      </c>
      <c r="E23" s="7" t="n">
        <v>1</v>
      </c>
      <c r="F23" s="7" t="inlineStr">
        <is>
          <t>0.8 V</t>
        </is>
      </c>
      <c r="G23" s="7" t="inlineStr">
        <is>
          <t>FEASIBLE</t>
        </is>
      </c>
      <c r="H23" s="9" t="n">
        <v>234.46</v>
      </c>
      <c r="I23" s="9" t="n">
        <v>140.93</v>
      </c>
      <c r="J23" s="9" t="n">
        <v>233.27</v>
      </c>
      <c r="K23" s="9" t="n">
        <v>150.77</v>
      </c>
      <c r="L23" s="9" t="n">
        <v>33.3544</v>
      </c>
      <c r="M23" s="9" t="n">
        <v>1.211355</v>
      </c>
      <c r="N23" s="10" t="n"/>
      <c r="O23" s="10" t="n"/>
      <c r="P23" s="10" t="n"/>
      <c r="Q23" s="10" t="n"/>
      <c r="R23" s="10" t="n"/>
      <c r="S23" s="10" t="n"/>
      <c r="T23" s="11" t="n"/>
      <c r="U23" s="12">
        <f>IF(O23="","",ABS(O23-I23)/I23*100)</f>
        <v/>
      </c>
      <c r="V23" s="12">
        <f>IF(Q23="","",ABS(Q23-K23)/K23*100)</f>
        <v/>
      </c>
      <c r="W23" s="13">
        <f>IF(T23="","PENDING",IF(T23="Pass","PASS","FAIL"))</f>
        <v/>
      </c>
    </row>
    <row r="24" ht="20" customHeight="1">
      <c r="A24" s="8" t="inlineStr">
        <is>
          <t>Cell D (2/3/2)</t>
        </is>
      </c>
      <c r="B24" s="8" t="inlineStr">
        <is>
          <t>CR-Enhanced Stability</t>
        </is>
      </c>
      <c r="C24" s="7" t="inlineStr">
        <is>
          <t>2/3/2</t>
        </is>
      </c>
      <c r="D24" s="7" t="n">
        <v>1.5</v>
      </c>
      <c r="E24" s="7" t="n">
        <v>1</v>
      </c>
      <c r="F24" s="7" t="inlineStr">
        <is>
          <t>0.9 V</t>
        </is>
      </c>
      <c r="G24" s="7" t="inlineStr">
        <is>
          <t>FEASIBLE</t>
        </is>
      </c>
      <c r="H24" s="9" t="n">
        <v>262.38</v>
      </c>
      <c r="I24" s="9" t="n">
        <v>157.93</v>
      </c>
      <c r="J24" s="9" t="n">
        <v>263.2</v>
      </c>
      <c r="K24" s="9" t="n">
        <v>148.67</v>
      </c>
      <c r="L24" s="9" t="n">
        <v>42.63815</v>
      </c>
      <c r="M24" s="9" t="n">
        <v>1.669475</v>
      </c>
      <c r="N24" s="10" t="n"/>
      <c r="O24" s="10" t="n"/>
      <c r="P24" s="10" t="n"/>
      <c r="Q24" s="10" t="n"/>
      <c r="R24" s="10" t="n"/>
      <c r="S24" s="10" t="n"/>
      <c r="T24" s="11" t="n"/>
      <c r="U24" s="12">
        <f>IF(O24="","",ABS(O24-I24)/I24*100)</f>
        <v/>
      </c>
      <c r="V24" s="12">
        <f>IF(Q24="","",ABS(Q24-K24)/K24*100)</f>
        <v/>
      </c>
      <c r="W24" s="13">
        <f>IF(T24="","PENDING",IF(T24="Pass","PASS","FAIL"))</f>
        <v/>
      </c>
    </row>
    <row r="25" ht="20" customHeight="1">
      <c r="A25" s="8" t="inlineStr">
        <is>
          <t>Cell D (2/3/2)</t>
        </is>
      </c>
      <c r="B25" s="8" t="inlineStr">
        <is>
          <t>CR-Enhanced Stability</t>
        </is>
      </c>
      <c r="C25" s="7" t="inlineStr">
        <is>
          <t>2/3/2</t>
        </is>
      </c>
      <c r="D25" s="7" t="n">
        <v>1.5</v>
      </c>
      <c r="E25" s="7" t="n">
        <v>1</v>
      </c>
      <c r="F25" s="7" t="inlineStr">
        <is>
          <t>1.0 V</t>
        </is>
      </c>
      <c r="G25" s="7" t="inlineStr">
        <is>
          <t>FEASIBLE</t>
        </is>
      </c>
      <c r="H25" s="9" t="n">
        <v>288.46</v>
      </c>
      <c r="I25" s="9" t="n">
        <v>173.38</v>
      </c>
      <c r="J25" s="9" t="n">
        <v>298.21</v>
      </c>
      <c r="K25" s="9" t="n">
        <v>146.9</v>
      </c>
      <c r="L25" s="9" t="n">
        <v>53.49095</v>
      </c>
      <c r="M25" s="9" t="n">
        <v>2.231615</v>
      </c>
      <c r="N25" s="10" t="n"/>
      <c r="O25" s="10" t="n"/>
      <c r="P25" s="10" t="n"/>
      <c r="Q25" s="10" t="n"/>
      <c r="R25" s="10" t="n"/>
      <c r="S25" s="10" t="n"/>
      <c r="T25" s="11" t="n"/>
      <c r="U25" s="12">
        <f>IF(O25="","",ABS(O25-I25)/I25*100)</f>
        <v/>
      </c>
      <c r="V25" s="12">
        <f>IF(Q25="","",ABS(Q25-K25)/K25*100)</f>
        <v/>
      </c>
      <c r="W25" s="13">
        <f>IF(T25="","PENDING",IF(T25="Pass","PASS","FAIL"))</f>
        <v/>
      </c>
    </row>
    <row r="26" ht="20" customHeight="1">
      <c r="A26" s="8" t="inlineStr">
        <is>
          <t>Cell D (2/3/2)</t>
        </is>
      </c>
      <c r="B26" s="8" t="inlineStr">
        <is>
          <t>CR-Enhanced Stability</t>
        </is>
      </c>
      <c r="C26" s="7" t="inlineStr">
        <is>
          <t>2/3/2</t>
        </is>
      </c>
      <c r="D26" s="7" t="n">
        <v>1.5</v>
      </c>
      <c r="E26" s="7" t="n">
        <v>1</v>
      </c>
      <c r="F26" s="7" t="inlineStr">
        <is>
          <t>1.1 V</t>
        </is>
      </c>
      <c r="G26" s="7" t="inlineStr">
        <is>
          <t>FEASIBLE</t>
        </is>
      </c>
      <c r="H26" s="9" t="n">
        <v>314.09</v>
      </c>
      <c r="I26" s="9" t="n">
        <v>189.97</v>
      </c>
      <c r="J26" s="9" t="n">
        <v>333.16</v>
      </c>
      <c r="K26" s="9" t="n">
        <v>144.93</v>
      </c>
      <c r="L26" s="9" t="n">
        <v>65.74930000000001</v>
      </c>
      <c r="M26" s="9" t="n">
        <v>2.903385</v>
      </c>
      <c r="N26" s="10" t="n"/>
      <c r="O26" s="10" t="n"/>
      <c r="P26" s="10" t="n"/>
      <c r="Q26" s="10" t="n"/>
      <c r="R26" s="10" t="n"/>
      <c r="S26" s="10" t="n"/>
      <c r="T26" s="11" t="n"/>
      <c r="U26" s="12">
        <f>IF(O26="","",ABS(O26-I26)/I26*100)</f>
        <v/>
      </c>
      <c r="V26" s="12">
        <f>IF(Q26="","",ABS(Q26-K26)/K26*100)</f>
        <v/>
      </c>
      <c r="W26" s="13">
        <f>IF(T26="","PENDING",IF(T26="Pass","PASS","FAIL"))</f>
        <v/>
      </c>
    </row>
    <row r="27" ht="20" customHeight="1">
      <c r="A27" s="8" t="inlineStr">
        <is>
          <t>Cell D (2/3/2)</t>
        </is>
      </c>
      <c r="B27" s="8" t="inlineStr">
        <is>
          <t>CR-Enhanced Stability</t>
        </is>
      </c>
      <c r="C27" s="7" t="inlineStr">
        <is>
          <t>2/3/2</t>
        </is>
      </c>
      <c r="D27" s="7" t="n">
        <v>1.5</v>
      </c>
      <c r="E27" s="7" t="n">
        <v>1</v>
      </c>
      <c r="F27" s="7" t="inlineStr">
        <is>
          <t>1.2 V</t>
        </is>
      </c>
      <c r="G27" s="7" t="inlineStr">
        <is>
          <t>FEASIBLE</t>
        </is>
      </c>
      <c r="H27" s="9" t="n">
        <v>339.71</v>
      </c>
      <c r="I27" s="9" t="n">
        <v>204.52</v>
      </c>
      <c r="J27" s="9" t="n">
        <v>373.19</v>
      </c>
      <c r="K27" s="9" t="n">
        <v>143.93</v>
      </c>
      <c r="L27" s="9" t="n">
        <v>80.7921</v>
      </c>
      <c r="M27" s="9" t="n">
        <v>3.70439</v>
      </c>
      <c r="N27" s="10" t="n"/>
      <c r="O27" s="10" t="n"/>
      <c r="P27" s="10" t="n"/>
      <c r="Q27" s="10" t="n"/>
      <c r="R27" s="10" t="n"/>
      <c r="S27" s="10" t="n"/>
      <c r="T27" s="11" t="n"/>
      <c r="U27" s="12">
        <f>IF(O27="","",ABS(O27-I27)/I27*100)</f>
        <v/>
      </c>
      <c r="V27" s="12">
        <f>IF(Q27="","",ABS(Q27-K27)/K27*100)</f>
        <v/>
      </c>
      <c r="W27" s="13">
        <f>IF(T27="","PENDING",IF(T27="Pass","PASS","FAIL"))</f>
        <v/>
      </c>
    </row>
    <row r="28" ht="20" customHeight="1">
      <c r="A28" s="8" t="inlineStr">
        <is>
          <t>Cell D (2/3/2)</t>
        </is>
      </c>
      <c r="B28" s="8" t="inlineStr">
        <is>
          <t>CR-Enhanced Stability</t>
        </is>
      </c>
      <c r="C28" s="7" t="inlineStr">
        <is>
          <t>2/3/2</t>
        </is>
      </c>
      <c r="D28" s="7" t="n">
        <v>1.5</v>
      </c>
      <c r="E28" s="7" t="n">
        <v>1</v>
      </c>
      <c r="F28" s="7" t="inlineStr">
        <is>
          <t>1.3 V</t>
        </is>
      </c>
      <c r="G28" s="7" t="inlineStr">
        <is>
          <t>FEASIBLE</t>
        </is>
      </c>
      <c r="H28" s="9" t="n">
        <v>365.29</v>
      </c>
      <c r="I28" s="9" t="n">
        <v>219.61</v>
      </c>
      <c r="J28" s="9" t="n">
        <v>413.17</v>
      </c>
      <c r="K28" s="9" t="n">
        <v>142.55</v>
      </c>
      <c r="L28" s="9" t="n">
        <v>98.41679999999999</v>
      </c>
      <c r="M28" s="9" t="n">
        <v>4.62975</v>
      </c>
      <c r="N28" s="10" t="n"/>
      <c r="O28" s="10" t="n"/>
      <c r="P28" s="10" t="n"/>
      <c r="Q28" s="10" t="n"/>
      <c r="R28" s="10" t="n"/>
      <c r="S28" s="10" t="n"/>
      <c r="T28" s="11" t="n"/>
      <c r="U28" s="12">
        <f>IF(O28="","",ABS(O28-I28)/I28*100)</f>
        <v/>
      </c>
      <c r="V28" s="12">
        <f>IF(Q28="","",ABS(Q28-K28)/K28*100)</f>
        <v/>
      </c>
      <c r="W28" s="13">
        <f>IF(T28="","PENDING",IF(T28="Pass","PASS","FAIL"))</f>
        <v/>
      </c>
    </row>
    <row r="29" ht="20" customHeight="1">
      <c r="A29" s="8" t="inlineStr">
        <is>
          <t>Comparison (3/2/3)</t>
        </is>
      </c>
      <c r="B29" s="8" t="inlineStr">
        <is>
          <t>Failed at 1.2V Corner</t>
        </is>
      </c>
      <c r="C29" s="7" t="inlineStr">
        <is>
          <t>3/2/3</t>
        </is>
      </c>
      <c r="D29" s="7" t="n">
        <v>0.67</v>
      </c>
      <c r="E29" s="7" t="n">
        <v>1</v>
      </c>
      <c r="F29" s="7" t="inlineStr">
        <is>
          <t>0.6 V</t>
        </is>
      </c>
      <c r="G29" s="7" t="inlineStr">
        <is>
          <t>FEASIBLE</t>
        </is>
      </c>
      <c r="H29" s="9" t="n">
        <v>195.56</v>
      </c>
      <c r="I29" s="9" t="n">
        <v>86.69</v>
      </c>
      <c r="J29" s="9" t="n">
        <v>218.18</v>
      </c>
      <c r="K29" s="9" t="n">
        <v>148.04</v>
      </c>
      <c r="L29" s="9" t="n">
        <v>16.8416</v>
      </c>
      <c r="M29" s="9" t="n">
        <v>0.506188</v>
      </c>
      <c r="N29" s="10" t="n"/>
      <c r="O29" s="10" t="n"/>
      <c r="P29" s="10" t="n"/>
      <c r="Q29" s="10" t="n"/>
      <c r="R29" s="10" t="n"/>
      <c r="S29" s="10" t="n"/>
      <c r="T29" s="11" t="n"/>
      <c r="U29" s="12">
        <f>IF(O29="","",ABS(O29-I29)/I29*100)</f>
        <v/>
      </c>
      <c r="V29" s="12">
        <f>IF(Q29="","",ABS(Q29-K29)/K29*100)</f>
        <v/>
      </c>
      <c r="W29" s="13">
        <f>IF(T29="","PENDING",IF(T29="Pass","PASS","FAIL"))</f>
        <v/>
      </c>
    </row>
    <row r="30" ht="20" customHeight="1">
      <c r="A30" s="8" t="inlineStr">
        <is>
          <t>Comparison (3/2/3)</t>
        </is>
      </c>
      <c r="B30" s="8" t="inlineStr">
        <is>
          <t>Failed at 1.2V Corner</t>
        </is>
      </c>
      <c r="C30" s="7" t="inlineStr">
        <is>
          <t>3/2/3</t>
        </is>
      </c>
      <c r="D30" s="7" t="n">
        <v>0.67</v>
      </c>
      <c r="E30" s="7" t="n">
        <v>1</v>
      </c>
      <c r="F30" s="7" t="inlineStr">
        <is>
          <t>0.7 V</t>
        </is>
      </c>
      <c r="G30" s="7" t="inlineStr">
        <is>
          <t>FEASIBLE</t>
        </is>
      </c>
      <c r="H30" s="9" t="n">
        <v>231.78</v>
      </c>
      <c r="I30" s="9" t="n">
        <v>100.54</v>
      </c>
      <c r="J30" s="9" t="n">
        <v>258.19</v>
      </c>
      <c r="K30" s="9" t="n">
        <v>144.61</v>
      </c>
      <c r="L30" s="9" t="n">
        <v>21.96505</v>
      </c>
      <c r="M30" s="9" t="n">
        <v>0.758633</v>
      </c>
      <c r="N30" s="10" t="n"/>
      <c r="O30" s="10" t="n"/>
      <c r="P30" s="10" t="n"/>
      <c r="Q30" s="10" t="n"/>
      <c r="R30" s="10" t="n"/>
      <c r="S30" s="10" t="n"/>
      <c r="T30" s="11" t="n"/>
      <c r="U30" s="12">
        <f>IF(O30="","",ABS(O30-I30)/I30*100)</f>
        <v/>
      </c>
      <c r="V30" s="12">
        <f>IF(Q30="","",ABS(Q30-K30)/K30*100)</f>
        <v/>
      </c>
      <c r="W30" s="13">
        <f>IF(T30="","PENDING",IF(T30="Pass","PASS","FAIL"))</f>
        <v/>
      </c>
    </row>
    <row r="31" ht="20" customHeight="1">
      <c r="A31" s="8" t="inlineStr">
        <is>
          <t>Comparison (3/2/3)</t>
        </is>
      </c>
      <c r="B31" s="8" t="inlineStr">
        <is>
          <t>Failed at 1.2V Corner</t>
        </is>
      </c>
      <c r="C31" s="7" t="inlineStr">
        <is>
          <t>3/2/3</t>
        </is>
      </c>
      <c r="D31" s="7" t="n">
        <v>0.67</v>
      </c>
      <c r="E31" s="7" t="n">
        <v>1</v>
      </c>
      <c r="F31" s="7" t="inlineStr">
        <is>
          <t>0.8 V</t>
        </is>
      </c>
      <c r="G31" s="7" t="inlineStr">
        <is>
          <t>FEASIBLE</t>
        </is>
      </c>
      <c r="H31" s="9" t="n">
        <v>265.6</v>
      </c>
      <c r="I31" s="9" t="n">
        <v>113.32</v>
      </c>
      <c r="J31" s="9" t="n">
        <v>303.23</v>
      </c>
      <c r="K31" s="9" t="n">
        <v>141.52</v>
      </c>
      <c r="L31" s="9" t="n">
        <v>27.70135</v>
      </c>
      <c r="M31" s="9" t="n">
        <v>1.0767</v>
      </c>
      <c r="N31" s="10" t="n"/>
      <c r="O31" s="10" t="n"/>
      <c r="P31" s="10" t="n"/>
      <c r="Q31" s="10" t="n"/>
      <c r="R31" s="10" t="n"/>
      <c r="S31" s="10" t="n"/>
      <c r="T31" s="11" t="n"/>
      <c r="U31" s="12">
        <f>IF(O31="","",ABS(O31-I31)/I31*100)</f>
        <v/>
      </c>
      <c r="V31" s="12">
        <f>IF(Q31="","",ABS(Q31-K31)/K31*100)</f>
        <v/>
      </c>
      <c r="W31" s="13">
        <f>IF(T31="","PENDING",IF(T31="Pass","PASS","FAIL"))</f>
        <v/>
      </c>
    </row>
    <row r="32" ht="20" customHeight="1">
      <c r="A32" s="8" t="inlineStr">
        <is>
          <t>Comparison (3/2/3)</t>
        </is>
      </c>
      <c r="B32" s="8" t="inlineStr">
        <is>
          <t>Failed at 1.2V Corner</t>
        </is>
      </c>
      <c r="C32" s="7" t="inlineStr">
        <is>
          <t>3/2/3</t>
        </is>
      </c>
      <c r="D32" s="7" t="n">
        <v>0.67</v>
      </c>
      <c r="E32" s="7" t="n">
        <v>1</v>
      </c>
      <c r="F32" s="7" t="inlineStr">
        <is>
          <t>0.9 V</t>
        </is>
      </c>
      <c r="G32" s="7" t="inlineStr">
        <is>
          <t>FEASIBLE</t>
        </is>
      </c>
      <c r="H32" s="9" t="n">
        <v>299.55</v>
      </c>
      <c r="I32" s="9" t="n">
        <v>125.69</v>
      </c>
      <c r="J32" s="9" t="n">
        <v>348.18</v>
      </c>
      <c r="K32" s="9" t="n">
        <v>139.04</v>
      </c>
      <c r="L32" s="9" t="n">
        <v>34.5717</v>
      </c>
      <c r="M32" s="9" t="n">
        <v>1.481615</v>
      </c>
      <c r="N32" s="10" t="n"/>
      <c r="O32" s="10" t="n"/>
      <c r="P32" s="10" t="n"/>
      <c r="Q32" s="10" t="n"/>
      <c r="R32" s="10" t="n"/>
      <c r="S32" s="10" t="n"/>
      <c r="T32" s="11" t="n"/>
      <c r="U32" s="12">
        <f>IF(O32="","",ABS(O32-I32)/I32*100)</f>
        <v/>
      </c>
      <c r="V32" s="12">
        <f>IF(Q32="","",ABS(Q32-K32)/K32*100)</f>
        <v/>
      </c>
      <c r="W32" s="13">
        <f>IF(T32="","PENDING",IF(T32="Pass","PASS","FAIL"))</f>
        <v/>
      </c>
    </row>
    <row r="33" ht="20" customHeight="1">
      <c r="A33" s="8" t="inlineStr">
        <is>
          <t>Comparison (3/2/3)</t>
        </is>
      </c>
      <c r="B33" s="8" t="inlineStr">
        <is>
          <t>Failed at 1.2V Corner</t>
        </is>
      </c>
      <c r="C33" s="7" t="inlineStr">
        <is>
          <t>3/2/3</t>
        </is>
      </c>
      <c r="D33" s="7" t="n">
        <v>0.67</v>
      </c>
      <c r="E33" s="7" t="n">
        <v>1</v>
      </c>
      <c r="F33" s="7" t="inlineStr">
        <is>
          <t>1.0 V</t>
        </is>
      </c>
      <c r="G33" s="7" t="inlineStr">
        <is>
          <t>FEASIBLE</t>
        </is>
      </c>
      <c r="H33" s="9" t="n">
        <v>328.44</v>
      </c>
      <c r="I33" s="9" t="n">
        <v>137.46</v>
      </c>
      <c r="J33" s="9" t="n">
        <v>398.18</v>
      </c>
      <c r="K33" s="9" t="n">
        <v>136.88</v>
      </c>
      <c r="L33" s="9" t="n">
        <v>42.2272</v>
      </c>
      <c r="M33" s="9" t="n">
        <v>1.9824</v>
      </c>
      <c r="N33" s="10" t="n"/>
      <c r="O33" s="10" t="n"/>
      <c r="P33" s="10" t="n"/>
      <c r="Q33" s="10" t="n"/>
      <c r="R33" s="10" t="n"/>
      <c r="S33" s="10" t="n"/>
      <c r="T33" s="11" t="n"/>
      <c r="U33" s="12">
        <f>IF(O33="","",ABS(O33-I33)/I33*100)</f>
        <v/>
      </c>
      <c r="V33" s="12">
        <f>IF(Q33="","",ABS(Q33-K33)/K33*100)</f>
        <v/>
      </c>
      <c r="W33" s="13">
        <f>IF(T33="","PENDING",IF(T33="Pass","PASS","FAIL"))</f>
        <v/>
      </c>
    </row>
    <row r="34" ht="20" customHeight="1">
      <c r="A34" s="8" t="inlineStr">
        <is>
          <t>Comparison (3/2/3)</t>
        </is>
      </c>
      <c r="B34" s="8" t="inlineStr">
        <is>
          <t>Failed at 1.2V Corner</t>
        </is>
      </c>
      <c r="C34" s="7" t="inlineStr">
        <is>
          <t>3/2/3</t>
        </is>
      </c>
      <c r="D34" s="7" t="n">
        <v>0.67</v>
      </c>
      <c r="E34" s="7" t="n">
        <v>1</v>
      </c>
      <c r="F34" s="7" t="inlineStr">
        <is>
          <t>1.1 V</t>
        </is>
      </c>
      <c r="G34" s="7" t="inlineStr">
        <is>
          <t>FEASIBLE</t>
        </is>
      </c>
      <c r="H34" s="9" t="n">
        <v>359.71</v>
      </c>
      <c r="I34" s="9" t="n">
        <v>149.44</v>
      </c>
      <c r="J34" s="9" t="n">
        <v>448.11</v>
      </c>
      <c r="K34" s="9" t="n">
        <v>135.48</v>
      </c>
      <c r="L34" s="9" t="n">
        <v>51.1509</v>
      </c>
      <c r="M34" s="9" t="n">
        <v>2.588975</v>
      </c>
      <c r="N34" s="10" t="n"/>
      <c r="O34" s="10" t="n"/>
      <c r="P34" s="10" t="n"/>
      <c r="Q34" s="10" t="n"/>
      <c r="R34" s="10" t="n"/>
      <c r="S34" s="10" t="n"/>
      <c r="T34" s="11" t="n"/>
      <c r="U34" s="12">
        <f>IF(O34="","",ABS(O34-I34)/I34*100)</f>
        <v/>
      </c>
      <c r="V34" s="12">
        <f>IF(Q34="","",ABS(Q34-K34)/K34*100)</f>
        <v/>
      </c>
      <c r="W34" s="13">
        <f>IF(T34="","PENDING",IF(T34="Pass","PASS","FAIL"))</f>
        <v/>
      </c>
    </row>
    <row r="35" ht="20" customHeight="1">
      <c r="A35" s="8" t="inlineStr">
        <is>
          <t>Comparison (3/2/3)</t>
        </is>
      </c>
      <c r="B35" s="8" t="inlineStr">
        <is>
          <t>Failed at 1.2V Corner</t>
        </is>
      </c>
      <c r="C35" s="7" t="inlineStr">
        <is>
          <t>3/2/3</t>
        </is>
      </c>
      <c r="D35" s="7" t="n">
        <v>0.67</v>
      </c>
      <c r="E35" s="7" t="n">
        <v>1</v>
      </c>
      <c r="F35" s="7" t="inlineStr">
        <is>
          <t>1.2 V</t>
        </is>
      </c>
      <c r="G35" s="7" t="inlineStr">
        <is>
          <t>INFEASIBLE</t>
        </is>
      </c>
      <c r="H35" s="9" t="n">
        <v>0</v>
      </c>
      <c r="I35" s="9" t="n">
        <v>159.71</v>
      </c>
      <c r="J35" s="9" t="n">
        <v>503.1</v>
      </c>
      <c r="K35" s="9" t="n">
        <v>133.94</v>
      </c>
      <c r="L35" s="9" t="n">
        <v>62.39365</v>
      </c>
      <c r="M35" s="9" t="n">
        <v>3.28236</v>
      </c>
      <c r="N35" s="10" t="n"/>
      <c r="O35" s="10" t="n"/>
      <c r="P35" s="10" t="n"/>
      <c r="Q35" s="10" t="n"/>
      <c r="R35" s="10" t="n"/>
      <c r="S35" s="10" t="n"/>
      <c r="T35" s="11" t="n"/>
      <c r="U35" s="12">
        <f>IF(O35="","",ABS(O35-I35)/I35*100)</f>
        <v/>
      </c>
      <c r="V35" s="12">
        <f>IF(Q35="","",ABS(Q35-K35)/K35*100)</f>
        <v/>
      </c>
      <c r="W35" s="13">
        <f>IF(T35="","PENDING",IF(T35="Pass","PASS","FAIL"))</f>
        <v/>
      </c>
    </row>
    <row r="36" ht="20" customHeight="1">
      <c r="A36" s="8" t="inlineStr">
        <is>
          <t>Comparison (3/2/3)</t>
        </is>
      </c>
      <c r="B36" s="8" t="inlineStr">
        <is>
          <t>Failed at 1.2V Corner</t>
        </is>
      </c>
      <c r="C36" s="7" t="inlineStr">
        <is>
          <t>3/2/3</t>
        </is>
      </c>
      <c r="D36" s="7" t="n">
        <v>0.67</v>
      </c>
      <c r="E36" s="7" t="n">
        <v>1</v>
      </c>
      <c r="F36" s="7" t="inlineStr">
        <is>
          <t>1.3 V</t>
        </is>
      </c>
      <c r="G36" s="7" t="inlineStr">
        <is>
          <t>FEASIBLE</t>
        </is>
      </c>
      <c r="H36" s="9" t="n">
        <v>418.37</v>
      </c>
      <c r="I36" s="9" t="n">
        <v>170.49</v>
      </c>
      <c r="J36" s="9" t="n">
        <v>563.13</v>
      </c>
      <c r="K36" s="9" t="n">
        <v>132.3</v>
      </c>
      <c r="L36" s="9" t="n">
        <v>75.1118</v>
      </c>
      <c r="M36" s="9" t="n">
        <v>4.102535</v>
      </c>
      <c r="N36" s="10" t="n"/>
      <c r="O36" s="10" t="n"/>
      <c r="P36" s="10" t="n"/>
      <c r="Q36" s="10" t="n"/>
      <c r="R36" s="10" t="n"/>
      <c r="S36" s="10" t="n"/>
      <c r="T36" s="11" t="n"/>
      <c r="U36" s="12">
        <f>IF(O36="","",ABS(O36-I36)/I36*100)</f>
        <v/>
      </c>
      <c r="V36" s="12">
        <f>IF(Q36="","",ABS(Q36-K36)/K36*100)</f>
        <v/>
      </c>
      <c r="W36" s="13">
        <f>IF(T36="","PENDING",IF(T36="Pass","PASS","FAIL"))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1" t="inlineStr">
        <is>
          <t>Cadence Virtuoso / ADE / Spectre Measurement Guide</t>
        </is>
      </c>
    </row>
    <row r="2">
      <c r="A2" s="2" t="inlineStr">
        <is>
          <t>Standardized extraction procedures for 6T FinFET SRAM bitcell characterization</t>
        </is>
      </c>
    </row>
    <row r="4">
      <c r="A4" s="14" t="inlineStr">
        <is>
          <t>1. Static Hold Noise Margin (HSNM)</t>
        </is>
      </c>
    </row>
    <row r="5">
      <c r="A5" s="15" t="inlineStr">
        <is>
          <t>Testbench Setup</t>
        </is>
      </c>
      <c r="B5" s="16" t="inlineStr">
        <is>
          <t>DC sweep with Wordline grounded (WL = 0V). Sweep node Q from 0 to VDD, measure QB voltage transfer curve (VTC1). Swap nodes to measure inverse VTC2.</t>
        </is>
      </c>
    </row>
    <row r="6">
      <c r="A6" s="15" t="inlineStr">
        <is>
          <t>Extraction Method</t>
        </is>
      </c>
      <c r="B6" s="16" t="inlineStr">
        <is>
          <t>Calculate the side length of the Maximum Inscribed Square inside the smaller closed lobe of the hold butterfly curve.</t>
        </is>
      </c>
    </row>
    <row r="7">
      <c r="A7" s="15" t="inlineStr">
        <is>
          <t>Unit &amp; Rule</t>
        </is>
      </c>
      <c r="B7" s="16" t="inlineStr">
        <is>
          <t>Report in millivolts (mV). HSNM must be &gt; 0 mV for stable data retention.</t>
        </is>
      </c>
    </row>
    <row r="9">
      <c r="A9" s="14" t="inlineStr">
        <is>
          <t>2. Static Read Noise Margin (RSNM)</t>
        </is>
      </c>
    </row>
    <row r="10">
      <c r="A10" s="15" t="inlineStr">
        <is>
          <t>Testbench Setup</t>
        </is>
      </c>
      <c r="B10" s="16" t="inlineStr">
        <is>
          <t>DC sweep with Wordline high (WL = VDD), Bitlines precharged (BL = BLB = VDD). Sweep node Q from 0 to VDD, observe QB, then invert.</t>
        </is>
      </c>
    </row>
    <row r="11">
      <c r="A11" s="15" t="inlineStr">
        <is>
          <t>Extraction Method</t>
        </is>
      </c>
      <c r="B11" s="16" t="inlineStr">
        <is>
          <t>Apply Seevinck numerical coordinate rotation (u = (Q - QB)/sqrt(2), v = (Q + QB)/sqrt(2)). Extract the maximum diagonal square side inside the read butterfly.</t>
        </is>
      </c>
    </row>
    <row r="12">
      <c r="A12" s="15" t="inlineStr">
        <is>
          <t>Unit &amp; Rule</t>
        </is>
      </c>
      <c r="B12" s="16" t="inlineStr">
        <is>
          <t>Report in millivolts (mV). Typical range: 80 mV to 220 mV.</t>
        </is>
      </c>
    </row>
    <row r="14">
      <c r="A14" s="14" t="inlineStr">
        <is>
          <t>3. Static Write Noise Margin (WSNM / WTP)</t>
        </is>
      </c>
    </row>
    <row r="15">
      <c r="A15" s="15" t="inlineStr">
        <is>
          <t>Testbench Setup</t>
        </is>
      </c>
      <c r="B15" s="16" t="inlineStr">
        <is>
          <t>DC sweep with Wordline active (WL = VDD), opposite bitline at VDD (BLB = VDD). Bitline (BL) swept downwards from VDD to 0V.</t>
        </is>
      </c>
    </row>
    <row r="16">
      <c r="A16" s="15" t="inlineStr">
        <is>
          <t>Extraction Method</t>
        </is>
      </c>
      <c r="B16" s="16" t="inlineStr">
        <is>
          <t>Identify the Write Trip Point voltage (V_trip) on BL where the storage node flips state (crosses inverter threshold). WSNM = VDD - V_trip.</t>
        </is>
      </c>
    </row>
    <row r="17">
      <c r="A17" s="15" t="inlineStr">
        <is>
          <t>Unit &amp; Rule</t>
        </is>
      </c>
      <c r="B17" s="16" t="inlineStr">
        <is>
          <t>Report in millivolts (mV). Higher is better (easier to write). Range: 150 mV to 600 mV.</t>
        </is>
      </c>
    </row>
    <row r="19">
      <c r="A19" s="14" t="inlineStr">
        <is>
          <t>4. Dynamic Write Delay (Worst-Case)</t>
        </is>
      </c>
    </row>
    <row r="20">
      <c r="A20" s="15" t="inlineStr">
        <is>
          <t>Testbench Setup</t>
        </is>
      </c>
      <c r="B20" s="16" t="inlineStr">
        <is>
          <t>Transient simulation (.tran) with 50 ps Wordline rise time. Run two separate runs: WRITE_0 (forcing Q=0) and WRITE_1 (forcing Q=1).</t>
        </is>
      </c>
    </row>
    <row r="21">
      <c r="A21" s="15" t="inlineStr">
        <is>
          <t>Extraction Method</t>
        </is>
      </c>
      <c r="B21" s="16" t="inlineStr">
        <is>
          <t>Measure delay from 50% WL rising transition (VDD/2) to 50% internal node crossing (Q or QB reaching VDD/2). Worst Delay = MAX(Delay_WRITE0, Delay_WRITE1).</t>
        </is>
      </c>
    </row>
    <row r="22">
      <c r="A22" s="15" t="inlineStr">
        <is>
          <t>Unit &amp; Rule</t>
        </is>
      </c>
      <c r="B22" s="16" t="inlineStr">
        <is>
          <t>Report in picoseconds (ps). Typical range: 125 ps to 165 ps.</t>
        </is>
      </c>
    </row>
    <row r="24">
      <c r="A24" s="14" t="inlineStr">
        <is>
          <t>5. Average Static Hold Leakage Current</t>
        </is>
      </c>
    </row>
    <row r="25">
      <c r="A25" s="15" t="inlineStr">
        <is>
          <t>Testbench Setup</t>
        </is>
      </c>
      <c r="B25" s="16" t="inlineStr">
        <is>
          <t>Transient/DC quiescent hold condition (WL = 0V, BL = BLB = VDD).</t>
        </is>
      </c>
    </row>
    <row r="26">
      <c r="A26" s="15" t="inlineStr">
        <is>
          <t>Extraction Method</t>
        </is>
      </c>
      <c r="B26" s="16" t="inlineStr">
        <is>
          <t>Measure average total current drawn from supply rails: I_leak = (I_VDD + I_BL + I_BLB) in steady-state hold mode for stored '0' and stored '1' states. Leakage = (I_hold0 + I_hold1) / 2.</t>
        </is>
      </c>
    </row>
    <row r="27">
      <c r="A27" s="15" t="inlineStr">
        <is>
          <t>Unit &amp; Rule</t>
        </is>
      </c>
      <c r="B27" s="16" t="inlineStr">
        <is>
          <t>Report in nanoamperes (nA). Minimum-fin cell draws ~9 nA to 37 nA.</t>
        </is>
      </c>
    </row>
    <row r="29">
      <c r="A29" s="14" t="inlineStr">
        <is>
          <t>6. Average Dynamic Write Switching Energy</t>
        </is>
      </c>
    </row>
    <row r="30">
      <c r="A30" s="15" t="inlineStr">
        <is>
          <t>Testbench Setup</t>
        </is>
      </c>
      <c r="B30" s="16" t="inlineStr">
        <is>
          <t>Transient write pulse over active window (T_start to T_end).</t>
        </is>
      </c>
    </row>
    <row r="31">
      <c r="A31" s="15" t="inlineStr">
        <is>
          <t>Extraction Method</t>
        </is>
      </c>
      <c r="B31" s="16" t="inlineStr">
        <is>
          <t>Integrate total instantaneous power over the write switching cycle: E = INTEGRAL(V_VDD * I_VDD + V_BL * I_BL + V_WL * I_WL) dt. Energy = (E_write0 + E_write1) / 2.</t>
        </is>
      </c>
    </row>
    <row r="32">
      <c r="A32" s="15" t="inlineStr">
        <is>
          <t>Unit &amp; Rule</t>
        </is>
      </c>
      <c r="B32" s="16" t="inlineStr">
        <is>
          <t>Report in femtojoules (fJ). Typical range: 0.3 fJ to 5.5 fJ.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2026-08-17T07:03:21Z</dcterms:created>
  <dcterms:modified xmlns:dcterms="http://purl.org/dc/terms/" xmlns:xsi="http://www.w3.org/2001/XMLSchema-instance" xsi:type="dcterms:W3CDTF">2026-08-22T05:06:24Z</dcterms:modified>
</cp:coreProperties>
</file>